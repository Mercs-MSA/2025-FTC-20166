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TC\2025-FTC-20166\"/>
    </mc:Choice>
  </mc:AlternateContent>
  <xr:revisionPtr revIDLastSave="0" documentId="13_ncr:1_{DF08B45E-B524-4018-BCAD-EF6A34F85BB4}" xr6:coauthVersionLast="36" xr6:coauthVersionMax="36" xr10:uidLastSave="{00000000-0000-0000-0000-000000000000}"/>
  <bookViews>
    <workbookView xWindow="0" yWindow="0" windowWidth="26685" windowHeight="11475" xr2:uid="{ACA11622-3D8E-4B6E-A36E-B55533190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" i="1" l="1"/>
  <c r="B43" i="1"/>
  <c r="H43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D18" i="1"/>
  <c r="C18" i="1"/>
  <c r="E18" i="1" s="1"/>
  <c r="F18" i="1" s="1"/>
  <c r="D17" i="1"/>
  <c r="C17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D40" i="1"/>
  <c r="C40" i="1"/>
  <c r="E40" i="1" s="1"/>
  <c r="D39" i="1"/>
  <c r="C39" i="1"/>
  <c r="E39" i="1" s="1"/>
  <c r="D38" i="1"/>
  <c r="C38" i="1"/>
  <c r="E38" i="1" s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E17" i="1" l="1"/>
  <c r="F17" i="1" s="1"/>
</calcChain>
</file>

<file path=xl/sharedStrings.xml><?xml version="1.0" encoding="utf-8"?>
<sst xmlns="http://schemas.openxmlformats.org/spreadsheetml/2006/main" count="15" uniqueCount="15">
  <si>
    <t>SAL</t>
  </si>
  <si>
    <t>SPL</t>
  </si>
  <si>
    <t>SPO</t>
  </si>
  <si>
    <t>mm</t>
  </si>
  <si>
    <t>Servo angle</t>
  </si>
  <si>
    <t>SPX</t>
  </si>
  <si>
    <t>SPY</t>
  </si>
  <si>
    <t>Servo A</t>
  </si>
  <si>
    <t>Angle C</t>
  </si>
  <si>
    <t>RSL</t>
  </si>
  <si>
    <t>TPX</t>
  </si>
  <si>
    <t>TPY</t>
  </si>
  <si>
    <t>Angle D</t>
  </si>
  <si>
    <t>Shooter Angle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</si>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</sst>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9760943690295593E-2"/>
          <c:y val="0.11733097401641106"/>
          <c:w val="0.93889229011060771"/>
          <c:h val="0.8278490831603004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Sheet1!$H$16</c:f>
              <c:strCache>
                <c:ptCount val="1"/>
                <c:pt idx="0">
                  <c:v>Shooter Angle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Sheet1!$B$17:$B$40</c:f>
              <c:numCache>
                <c:formatCode>General</c:formatCode>
                <c:ptCount val="24"/>
                <c:pt idx="0">
                  <c:v>-10</c:v>
                </c:pt>
                <c:pt idx="1">
                  <c:v>-5</c:v>
                </c:pt>
                <c:pt idx="2">
                  <c:v>0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90</c:v>
                </c:pt>
                <c:pt idx="21">
                  <c:v>95</c:v>
                </c:pt>
                <c:pt idx="22">
                  <c:v>100</c:v>
                </c:pt>
                <c:pt idx="23">
                  <c:v>105</c:v>
                </c:pt>
              </c:numCache>
            </c:numRef>
          </c:xVal>
          <c:yVal>
            <c:numRef>
              <c:f>Sheet1!$H$17:$H$40</c:f>
              <c:numCache>
                <c:formatCode>General</c:formatCode>
                <c:ptCount val="24"/>
                <c:pt idx="0">
                  <c:v>37.860079983912897</c:v>
                </c:pt>
                <c:pt idx="1">
                  <c:v>39.927701781570612</c:v>
                </c:pt>
                <c:pt idx="2">
                  <c:v>42.055037896454024</c:v>
                </c:pt>
                <c:pt idx="3">
                  <c:v>44.237717552242287</c:v>
                </c:pt>
                <c:pt idx="4">
                  <c:v>46.470969153813805</c:v>
                </c:pt>
                <c:pt idx="5">
                  <c:v>48.749594581215732</c:v>
                </c:pt>
                <c:pt idx="6">
                  <c:v>51.067936896234286</c:v>
                </c:pt>
                <c:pt idx="7">
                  <c:v>53.419838434637363</c:v>
                </c:pt>
                <c:pt idx="8">
                  <c:v>55.798585793137178</c:v>
                </c:pt>
                <c:pt idx="9">
                  <c:v>58.196837611180257</c:v>
                </c:pt>
                <c:pt idx="10">
                  <c:v>60.606530228918238</c:v>
                </c:pt>
                <c:pt idx="11">
                  <c:v>63.018755192160427</c:v>
                </c:pt>
                <c:pt idx="12">
                  <c:v>65.423601069708255</c:v>
                </c:pt>
                <c:pt idx="13">
                  <c:v>67.809950019657336</c:v>
                </c:pt>
                <c:pt idx="14">
                  <c:v>70.16521683176309</c:v>
                </c:pt>
                <c:pt idx="15">
                  <c:v>72.475014599335964</c:v>
                </c:pt>
                <c:pt idx="16">
                  <c:v>74.722726544641958</c:v>
                </c:pt>
                <c:pt idx="17">
                  <c:v>76.88895769117984</c:v>
                </c:pt>
                <c:pt idx="18">
                  <c:v>78.95083308209324</c:v>
                </c:pt>
                <c:pt idx="19">
                  <c:v>80.881101617687165</c:v>
                </c:pt>
                <c:pt idx="20">
                  <c:v>82.646998024215904</c:v>
                </c:pt>
                <c:pt idx="21">
                  <c:v>84.208814234315199</c:v>
                </c:pt>
                <c:pt idx="22">
                  <c:v>85.518145185285746</c:v>
                </c:pt>
                <c:pt idx="23">
                  <c:v>86.515823026277701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7-4183-9375-0915615B3419}"/>
            </c:ext>
          </c:extLst>
        </c:ser>
        <c:ser>
          <c:idx val="1"/>
          <c:order val="1"/>
          <c:tx>
            <c:v>Linear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Sheet1!$B$43:$B$44</c:f>
              <c:numCache>
                <c:formatCode>General</c:formatCode>
                <c:ptCount val="2"/>
                <c:pt idx="0">
                  <c:v>-10</c:v>
                </c:pt>
                <c:pt idx="1">
                  <c:v>105</c:v>
                </c:pt>
              </c:numCache>
            </c:numRef>
          </c:xVal>
          <c:yVal>
            <c:numRef>
              <c:f>Sheet1!$H$43:$H$44</c:f>
              <c:numCache>
                <c:formatCode>General</c:formatCode>
                <c:ptCount val="2"/>
                <c:pt idx="0">
                  <c:v>37.860079983912897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7-4183-9375-0915615B3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733183"/>
        <c:axId val="1680676975"/>
      </c:scatterChart>
      <c:valAx>
        <c:axId val="127673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676975"/>
        <c:crosses val="autoZero"/>
        <c:crossBetween val="midCat"/>
      </c:valAx>
      <c:valAx>
        <c:axId val="1680676975"/>
        <c:scaling>
          <c:orientation val="minMax"/>
          <c:max val="9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73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284417</xdr:colOff>
      <xdr:row>0</xdr:row>
      <xdr:rowOff>161924</xdr:rowOff>
    </xdr:from>
    <xdr:to>
      <xdr:col>17</xdr:col>
      <xdr:colOff>372669</xdr:colOff>
      <xdr:row>23</xdr:row>
      <xdr:rowOff>39011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68DB84-ABC7-4455-9322-B27BB28B9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4592" y="161924"/>
          <a:ext cx="5574652" cy="4258587"/>
        </a:xfrm>
        <a:prstGeom prst="rect">
          <a:avLst/>
        </a:prstGeom>
      </xdr:spPr>
    </xdr:pic>
    <xdr:clientData/>
  </xdr:twoCellAnchor>
  <xdr:twoCellAnchor editAs="oneCell">
    <xdr:from>
      <xdr:col>17</xdr:col>
      <xdr:colOff>19049</xdr:colOff>
      <xdr:row>1</xdr:row>
      <xdr:rowOff>94381</xdr:rowOff>
    </xdr:from>
    <xdr:to>
      <xdr:col>30</xdr:col>
      <xdr:colOff>497252</xdr:colOff>
      <xdr:row>22</xdr:row>
      <xdr:rowOff>172398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B040D6-1662-4AB1-A453-3AD1082D4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15624" y="284881"/>
          <a:ext cx="8403003" cy="4078517"/>
        </a:xfrm>
        <a:prstGeom prst="rect">
          <a:avLst/>
        </a:prstGeom>
      </xdr:spPr>
    </xdr:pic>
    <xdr:clientData/>
  </xdr:twoCellAnchor>
  <xdr:twoCellAnchor editAs="oneCell">
    <xdr:from>
      <xdr:col>20</xdr:col>
      <xdr:colOff>377532</xdr:colOff>
      <xdr:row>23</xdr:row>
      <xdr:rowOff>23532</xdr:rowOff>
    </xdr:from>
    <xdr:to>
      <xdr:col>28</xdr:col>
      <xdr:colOff>31543</xdr:colOff>
      <xdr:row>42</xdr:row>
      <xdr:rowOff>90207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DC2084-C033-4F8B-80C7-9D0D005E6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29826" y="4405032"/>
          <a:ext cx="4494952" cy="3686175"/>
        </a:xfrm>
        <a:prstGeom prst="rect">
          <a:avLst/>
        </a:prstGeom>
      </xdr:spPr>
    </xdr:pic>
    <xdr:clientData/>
  </xdr:twoCellAnchor>
  <xdr:twoCellAnchor>
    <xdr:from>
      <xdr:col>8</xdr:col>
      <xdr:colOff>549087</xdr:colOff>
      <xdr:row>23</xdr:row>
      <xdr:rowOff>124384</xdr:rowOff>
    </xdr:from>
    <xdr:to>
      <xdr:col>20</xdr:col>
      <xdr:colOff>515470</xdr:colOff>
      <xdr:row>46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524FCF-87DD-4D31-8F11-10F11D5B7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BED3-93F1-4526-9EA6-A3547A44D6CE}">
  <dimension ref="B1:H44"/>
  <sheetViews>
    <sheetView tabSelected="1" topLeftCell="A7" zoomScale="85" zoomScaleNormal="85" workbookViewId="0">
      <selection activeCell="A36" sqref="A36"/>
    </sheetView>
  </sheetViews>
  <sheetFormatPr defaultRowHeight="15" x14ac:dyDescent="0.25"/>
  <cols>
    <col min="2" max="2" width="11.28515625" bestFit="1" customWidth="1"/>
    <col min="3" max="3" width="12" bestFit="1" customWidth="1"/>
    <col min="8" max="8" width="13.7109375" bestFit="1" customWidth="1"/>
  </cols>
  <sheetData>
    <row r="1" spans="2:8" x14ac:dyDescent="0.25">
      <c r="B1" t="s">
        <v>4</v>
      </c>
      <c r="C1" s="1">
        <v>45</v>
      </c>
    </row>
    <row r="2" spans="2:8" x14ac:dyDescent="0.25">
      <c r="C2" t="s">
        <v>3</v>
      </c>
    </row>
    <row r="3" spans="2:8" x14ac:dyDescent="0.25">
      <c r="B3" t="s">
        <v>0</v>
      </c>
      <c r="C3" s="4">
        <v>45</v>
      </c>
    </row>
    <row r="4" spans="2:8" x14ac:dyDescent="0.25">
      <c r="B4" t="s">
        <v>1</v>
      </c>
      <c r="C4" s="4">
        <v>120</v>
      </c>
    </row>
    <row r="5" spans="2:8" x14ac:dyDescent="0.25">
      <c r="B5" t="s">
        <v>2</v>
      </c>
      <c r="C5" s="4">
        <v>110</v>
      </c>
    </row>
    <row r="6" spans="2:8" x14ac:dyDescent="0.25">
      <c r="B6" t="s">
        <v>10</v>
      </c>
      <c r="C6" s="4">
        <v>-72</v>
      </c>
    </row>
    <row r="7" spans="2:8" x14ac:dyDescent="0.25">
      <c r="B7" t="s">
        <v>11</v>
      </c>
      <c r="C7" s="4">
        <v>41</v>
      </c>
    </row>
    <row r="16" spans="2:8" x14ac:dyDescent="0.25">
      <c r="B16" t="s">
        <v>7</v>
      </c>
      <c r="C16" t="s">
        <v>5</v>
      </c>
      <c r="D16" t="s">
        <v>6</v>
      </c>
      <c r="E16" t="s">
        <v>9</v>
      </c>
      <c r="F16" t="s">
        <v>8</v>
      </c>
      <c r="G16" t="s">
        <v>12</v>
      </c>
      <c r="H16" t="s">
        <v>13</v>
      </c>
    </row>
    <row r="17" spans="2:8" x14ac:dyDescent="0.25">
      <c r="B17">
        <v>-10</v>
      </c>
      <c r="C17" s="3">
        <f t="shared" ref="C17:C18" si="0">$C$3*COS(RADIANS(B17))</f>
        <v>44.31634888554936</v>
      </c>
      <c r="D17" s="3">
        <f t="shared" ref="D17:D18" si="1">$C$3*SIN(RADIANS(B17))</f>
        <v>-7.8141679950118652</v>
      </c>
      <c r="E17" s="2">
        <f t="shared" ref="E17:E18" si="2">SQRT(((C17-$C$6)^2) + (D17-$C$7)^2)</f>
        <v>126.14402885238</v>
      </c>
      <c r="F17" s="2">
        <f t="shared" ref="F17:F18" si="3">DEGREES(ACOS((($C$5^2)+(E17^2)-($C$4^2))/(2*$C$5*E17)))</f>
        <v>60.626279820967511</v>
      </c>
      <c r="G17">
        <f>DEGREES(ASIN(($C$7-D17)/(E17)))</f>
        <v>22.766199837054618</v>
      </c>
      <c r="H17">
        <f>F17-G17</f>
        <v>37.860079983912897</v>
      </c>
    </row>
    <row r="18" spans="2:8" x14ac:dyDescent="0.25">
      <c r="B18">
        <v>-5</v>
      </c>
      <c r="C18" s="3">
        <f t="shared" si="0"/>
        <v>44.82876141412855</v>
      </c>
      <c r="D18" s="3">
        <f t="shared" si="1"/>
        <v>-3.9220084236446175</v>
      </c>
      <c r="E18" s="2">
        <f t="shared" si="2"/>
        <v>125.16767288071377</v>
      </c>
      <c r="F18" s="2">
        <f t="shared" si="3"/>
        <v>60.960030124864929</v>
      </c>
      <c r="G18">
        <f t="shared" ref="G18:G40" si="4">DEGREES(ASIN(($C$7-D18)/(E18)))</f>
        <v>21.032328343294317</v>
      </c>
      <c r="H18">
        <f t="shared" ref="H18:H40" si="5">F18-G18</f>
        <v>39.927701781570612</v>
      </c>
    </row>
    <row r="19" spans="2:8" x14ac:dyDescent="0.25">
      <c r="B19">
        <v>0</v>
      </c>
      <c r="C19" s="3">
        <f>$C$3*COS(RADIANS(B19))</f>
        <v>45</v>
      </c>
      <c r="D19" s="3">
        <f>$C$3*SIN(RADIANS(B19))</f>
        <v>0</v>
      </c>
      <c r="E19" s="2">
        <f>SQRT(((C19-$C$6)^2) + (D19-$C$7)^2)</f>
        <v>123.97580409095961</v>
      </c>
      <c r="F19" s="2">
        <f>DEGREES(ACOS((($C$5^2)+(E19^2)-($C$4^2))/(2*$C$5*E19)))</f>
        <v>61.366894460806684</v>
      </c>
      <c r="G19">
        <f t="shared" si="4"/>
        <v>19.311856564352656</v>
      </c>
      <c r="H19">
        <f t="shared" si="5"/>
        <v>42.055037896454024</v>
      </c>
    </row>
    <row r="20" spans="2:8" x14ac:dyDescent="0.25">
      <c r="B20">
        <v>5</v>
      </c>
      <c r="C20" s="3">
        <f t="shared" ref="C20:C40" si="6">$C$3*COS(RADIANS(B20))</f>
        <v>44.82876141412855</v>
      </c>
      <c r="D20" s="3">
        <f t="shared" ref="D20:D37" si="7">$C$3*SIN(RADIANS(B20))</f>
        <v>3.9220084236446175</v>
      </c>
      <c r="E20" s="2">
        <f t="shared" ref="E20:E37" si="8">SQRT(((C20-$C$6)^2) + (D20-$C$7)^2)</f>
        <v>122.57135453643177</v>
      </c>
      <c r="F20" s="2">
        <f t="shared" ref="F20:F40" si="9">DEGREES(ACOS((($C$5^2)+(E20^2)-($C$4^2))/(2*$C$5*E20)))</f>
        <v>61.845615431695194</v>
      </c>
      <c r="G20">
        <f t="shared" si="4"/>
        <v>17.607897879452906</v>
      </c>
      <c r="H20">
        <f t="shared" si="5"/>
        <v>44.237717552242287</v>
      </c>
    </row>
    <row r="21" spans="2:8" x14ac:dyDescent="0.25">
      <c r="B21">
        <v>10</v>
      </c>
      <c r="C21" s="3">
        <f t="shared" si="6"/>
        <v>44.31634888554936</v>
      </c>
      <c r="D21" s="3">
        <f t="shared" si="7"/>
        <v>7.8141679950118652</v>
      </c>
      <c r="E21" s="2">
        <f t="shared" si="8"/>
        <v>120.95781274447771</v>
      </c>
      <c r="F21" s="2">
        <f t="shared" si="9"/>
        <v>62.394771523587231</v>
      </c>
      <c r="G21">
        <f t="shared" si="4"/>
        <v>15.923802369773425</v>
      </c>
      <c r="H21">
        <f t="shared" si="5"/>
        <v>46.470969153813805</v>
      </c>
    </row>
    <row r="22" spans="2:8" x14ac:dyDescent="0.25">
      <c r="B22">
        <v>15</v>
      </c>
      <c r="C22" s="3">
        <f t="shared" si="6"/>
        <v>43.466662183008076</v>
      </c>
      <c r="D22" s="3">
        <f t="shared" si="7"/>
        <v>11.646857029613432</v>
      </c>
      <c r="E22" s="2">
        <f t="shared" si="8"/>
        <v>119.13923399923664</v>
      </c>
      <c r="F22" s="2">
        <f t="shared" si="9"/>
        <v>63.012807384922922</v>
      </c>
      <c r="G22">
        <f t="shared" si="4"/>
        <v>14.263212803707194</v>
      </c>
      <c r="H22">
        <f t="shared" si="5"/>
        <v>48.749594581215732</v>
      </c>
    </row>
    <row r="23" spans="2:8" x14ac:dyDescent="0.25">
      <c r="B23">
        <v>20</v>
      </c>
      <c r="C23" s="3">
        <f t="shared" si="6"/>
        <v>42.286167935365881</v>
      </c>
      <c r="D23" s="3">
        <f t="shared" si="7"/>
        <v>15.390906449655093</v>
      </c>
      <c r="E23" s="2">
        <f t="shared" si="8"/>
        <v>117.12025381555902</v>
      </c>
      <c r="F23" s="2">
        <f t="shared" si="9"/>
        <v>63.698066298203621</v>
      </c>
      <c r="G23">
        <f t="shared" si="4"/>
        <v>12.630129401969331</v>
      </c>
      <c r="H23">
        <f t="shared" si="5"/>
        <v>51.067936896234286</v>
      </c>
    </row>
    <row r="24" spans="2:8" x14ac:dyDescent="0.25">
      <c r="B24">
        <v>25</v>
      </c>
      <c r="C24" s="3">
        <f t="shared" si="6"/>
        <v>40.783850416649244</v>
      </c>
      <c r="D24" s="3">
        <f t="shared" si="7"/>
        <v>19.017821778331474</v>
      </c>
      <c r="E24" s="2">
        <f t="shared" si="8"/>
        <v>114.90610546952807</v>
      </c>
      <c r="F24" s="2">
        <f t="shared" si="9"/>
        <v>64.44882412257293</v>
      </c>
      <c r="G24">
        <f t="shared" si="4"/>
        <v>11.028985687935565</v>
      </c>
      <c r="H24">
        <f t="shared" si="5"/>
        <v>53.419838434637363</v>
      </c>
    </row>
    <row r="25" spans="2:8" x14ac:dyDescent="0.25">
      <c r="B25">
        <v>30</v>
      </c>
      <c r="C25" s="3">
        <f t="shared" si="6"/>
        <v>38.97114317029974</v>
      </c>
      <c r="D25" s="3">
        <f t="shared" si="7"/>
        <v>22.499999999999996</v>
      </c>
      <c r="E25" s="2">
        <f t="shared" si="8"/>
        <v>112.50264270906334</v>
      </c>
      <c r="F25" s="2">
        <f t="shared" si="9"/>
        <v>65.263324060870488</v>
      </c>
      <c r="G25">
        <f t="shared" si="4"/>
        <v>9.4647382677333098</v>
      </c>
      <c r="H25">
        <f t="shared" si="5"/>
        <v>55.798585793137178</v>
      </c>
    </row>
    <row r="26" spans="2:8" x14ac:dyDescent="0.25">
      <c r="B26">
        <v>35</v>
      </c>
      <c r="C26" s="3">
        <f t="shared" si="6"/>
        <v>36.861841993004631</v>
      </c>
      <c r="D26" s="3">
        <f t="shared" si="7"/>
        <v>25.810939635797073</v>
      </c>
      <c r="E26" s="2">
        <f t="shared" si="8"/>
        <v>109.91636910332012</v>
      </c>
      <c r="F26" s="2">
        <f t="shared" si="9"/>
        <v>66.139811690311163</v>
      </c>
      <c r="G26">
        <f t="shared" si="4"/>
        <v>7.9429740791309094</v>
      </c>
      <c r="H26">
        <f t="shared" si="5"/>
        <v>58.196837611180257</v>
      </c>
    </row>
    <row r="27" spans="2:8" x14ac:dyDescent="0.25">
      <c r="B27">
        <v>40</v>
      </c>
      <c r="C27" s="3">
        <f t="shared" si="6"/>
        <v>34.47199994035401</v>
      </c>
      <c r="D27" s="3">
        <f t="shared" si="7"/>
        <v>28.925442435894265</v>
      </c>
      <c r="E27" s="2">
        <f t="shared" si="8"/>
        <v>107.15447592922868</v>
      </c>
      <c r="F27" s="2">
        <f t="shared" si="9"/>
        <v>67.076569767899912</v>
      </c>
      <c r="G27">
        <f t="shared" si="4"/>
        <v>6.4700395389816707</v>
      </c>
      <c r="H27">
        <f t="shared" si="5"/>
        <v>60.606530228918238</v>
      </c>
    </row>
    <row r="28" spans="2:8" x14ac:dyDescent="0.25">
      <c r="B28">
        <v>45</v>
      </c>
      <c r="C28" s="3">
        <f t="shared" si="6"/>
        <v>31.81980515339464</v>
      </c>
      <c r="D28" s="3">
        <f t="shared" si="7"/>
        <v>31.819805153394636</v>
      </c>
      <c r="E28" s="2">
        <f t="shared" si="8"/>
        <v>104.22489107459153</v>
      </c>
      <c r="F28" s="2">
        <f t="shared" si="9"/>
        <v>68.07195234776492</v>
      </c>
      <c r="G28">
        <f t="shared" si="4"/>
        <v>5.0531971556044937</v>
      </c>
      <c r="H28">
        <f t="shared" si="5"/>
        <v>63.018755192160427</v>
      </c>
    </row>
    <row r="29" spans="2:8" x14ac:dyDescent="0.25">
      <c r="B29">
        <v>50</v>
      </c>
      <c r="C29" s="3">
        <f t="shared" si="6"/>
        <v>28.925442435894272</v>
      </c>
      <c r="D29" s="3">
        <f t="shared" si="7"/>
        <v>34.47199994035401</v>
      </c>
      <c r="E29" s="2">
        <f t="shared" si="8"/>
        <v>101.13634221020526</v>
      </c>
      <c r="F29" s="2">
        <f t="shared" si="9"/>
        <v>69.124417682363898</v>
      </c>
      <c r="G29">
        <f t="shared" si="4"/>
        <v>3.7008166126556481</v>
      </c>
      <c r="H29">
        <f t="shared" si="5"/>
        <v>65.423601069708255</v>
      </c>
    </row>
    <row r="30" spans="2:8" x14ac:dyDescent="0.25">
      <c r="B30">
        <v>55</v>
      </c>
      <c r="C30" s="3">
        <f t="shared" si="6"/>
        <v>25.810939635797077</v>
      </c>
      <c r="D30" s="3">
        <f t="shared" si="7"/>
        <v>36.861841993004631</v>
      </c>
      <c r="E30" s="2">
        <f t="shared" si="8"/>
        <v>97.89843851731446</v>
      </c>
      <c r="F30" s="2">
        <f t="shared" si="9"/>
        <v>70.232559155125102</v>
      </c>
      <c r="G30">
        <f t="shared" si="4"/>
        <v>2.4226091354677686</v>
      </c>
      <c r="H30">
        <f t="shared" si="5"/>
        <v>67.809950019657336</v>
      </c>
    </row>
    <row r="31" spans="2:8" x14ac:dyDescent="0.25">
      <c r="B31">
        <v>60</v>
      </c>
      <c r="C31" s="3">
        <f t="shared" si="6"/>
        <v>22.500000000000004</v>
      </c>
      <c r="D31" s="3">
        <f t="shared" si="7"/>
        <v>38.97114317029974</v>
      </c>
      <c r="E31" s="2">
        <f t="shared" si="8"/>
        <v>94.521776644514162</v>
      </c>
      <c r="F31" s="2">
        <f t="shared" si="9"/>
        <v>71.395133001961696</v>
      </c>
      <c r="G31">
        <f t="shared" si="4"/>
        <v>1.2299161701986059</v>
      </c>
      <c r="H31">
        <f t="shared" si="5"/>
        <v>70.16521683176309</v>
      </c>
    </row>
    <row r="32" spans="2:8" x14ac:dyDescent="0.25">
      <c r="B32">
        <v>65</v>
      </c>
      <c r="C32" s="3">
        <f t="shared" si="6"/>
        <v>19.017821778331474</v>
      </c>
      <c r="D32" s="3">
        <f t="shared" si="7"/>
        <v>40.783850416649244</v>
      </c>
      <c r="E32" s="2">
        <f t="shared" si="8"/>
        <v>91.018078434531304</v>
      </c>
      <c r="F32" s="2">
        <f t="shared" si="9"/>
        <v>72.611080650424398</v>
      </c>
      <c r="G32">
        <f t="shared" si="4"/>
        <v>0.13606605108842895</v>
      </c>
      <c r="H32">
        <f t="shared" si="5"/>
        <v>72.475014599335964</v>
      </c>
    </row>
    <row r="33" spans="2:8" x14ac:dyDescent="0.25">
      <c r="B33">
        <v>70</v>
      </c>
      <c r="C33" s="3">
        <f t="shared" si="6"/>
        <v>15.390906449655096</v>
      </c>
      <c r="D33" s="3">
        <f t="shared" si="7"/>
        <v>42.286167935365874</v>
      </c>
      <c r="E33" s="2">
        <f t="shared" si="8"/>
        <v>87.400370468610319</v>
      </c>
      <c r="F33" s="2">
        <f t="shared" si="9"/>
        <v>73.879541852888764</v>
      </c>
      <c r="G33">
        <f t="shared" si="4"/>
        <v>-0.84318469175319821</v>
      </c>
      <c r="H33">
        <f t="shared" si="5"/>
        <v>74.722726544641958</v>
      </c>
    </row>
    <row r="34" spans="2:8" x14ac:dyDescent="0.25">
      <c r="B34">
        <v>75</v>
      </c>
      <c r="C34" s="3">
        <f t="shared" si="6"/>
        <v>11.646857029613432</v>
      </c>
      <c r="D34" s="3">
        <f t="shared" si="7"/>
        <v>43.466662183008076</v>
      </c>
      <c r="E34" s="2">
        <f t="shared" si="8"/>
        <v>83.683218827060372</v>
      </c>
      <c r="F34" s="2">
        <f t="shared" si="9"/>
        <v>75.199851940720563</v>
      </c>
      <c r="G34">
        <f t="shared" si="4"/>
        <v>-1.6891057504592712</v>
      </c>
      <c r="H34">
        <f t="shared" si="5"/>
        <v>76.88895769117984</v>
      </c>
    </row>
    <row r="35" spans="2:8" x14ac:dyDescent="0.25">
      <c r="B35">
        <v>80</v>
      </c>
      <c r="C35" s="3">
        <f t="shared" si="6"/>
        <v>7.8141679950118688</v>
      </c>
      <c r="D35" s="3">
        <f t="shared" si="7"/>
        <v>44.31634888554936</v>
      </c>
      <c r="E35" s="2">
        <f t="shared" si="8"/>
        <v>79.88303688935882</v>
      </c>
      <c r="F35" s="2">
        <f t="shared" si="9"/>
        <v>76.571511695637383</v>
      </c>
      <c r="G35">
        <f t="shared" si="4"/>
        <v>-2.3793213864558527</v>
      </c>
      <c r="H35">
        <f t="shared" si="5"/>
        <v>78.95083308209324</v>
      </c>
    </row>
    <row r="36" spans="2:8" x14ac:dyDescent="0.25">
      <c r="B36">
        <v>85</v>
      </c>
      <c r="C36" s="3">
        <f t="shared" si="6"/>
        <v>3.9220084236446162</v>
      </c>
      <c r="D36" s="3">
        <f t="shared" si="7"/>
        <v>44.82876141412855</v>
      </c>
      <c r="E36" s="2">
        <f t="shared" si="8"/>
        <v>76.018489705112415</v>
      </c>
      <c r="F36" s="2">
        <f t="shared" si="9"/>
        <v>77.994110237329863</v>
      </c>
      <c r="G36">
        <f t="shared" si="4"/>
        <v>-2.8869913803573066</v>
      </c>
      <c r="H36">
        <f t="shared" si="5"/>
        <v>80.881101617687165</v>
      </c>
    </row>
    <row r="37" spans="2:8" x14ac:dyDescent="0.25">
      <c r="B37">
        <v>90</v>
      </c>
      <c r="C37" s="3">
        <f t="shared" si="6"/>
        <v>2.756584023544395E-15</v>
      </c>
      <c r="D37" s="3">
        <f t="shared" si="7"/>
        <v>45</v>
      </c>
      <c r="E37" s="2">
        <f t="shared" si="8"/>
        <v>72.111025509279784</v>
      </c>
      <c r="F37" s="2">
        <f t="shared" si="9"/>
        <v>79.467167904351669</v>
      </c>
      <c r="G37">
        <f t="shared" si="4"/>
        <v>-3.1798301198642349</v>
      </c>
      <c r="H37">
        <f t="shared" si="5"/>
        <v>82.646998024215904</v>
      </c>
    </row>
    <row r="38" spans="2:8" x14ac:dyDescent="0.25">
      <c r="B38">
        <v>95</v>
      </c>
      <c r="C38" s="3">
        <f t="shared" si="6"/>
        <v>-3.9220084236446207</v>
      </c>
      <c r="D38" s="3">
        <f t="shared" ref="D38:D39" si="10">$C$3*SIN(RADIANS(B38))</f>
        <v>44.82876141412855</v>
      </c>
      <c r="E38" s="2">
        <f t="shared" ref="E38:E39" si="11">SQRT(((C38-$C$6)^2) + (D38-$C$7)^2)</f>
        <v>68.185572895126668</v>
      </c>
      <c r="F38" s="2">
        <f t="shared" si="9"/>
        <v>80.989844204446484</v>
      </c>
      <c r="G38">
        <f t="shared" si="4"/>
        <v>-3.2189700298687205</v>
      </c>
      <c r="H38">
        <f t="shared" si="5"/>
        <v>84.208814234315199</v>
      </c>
    </row>
    <row r="39" spans="2:8" x14ac:dyDescent="0.25">
      <c r="B39">
        <v>100</v>
      </c>
      <c r="C39" s="3">
        <f t="shared" si="6"/>
        <v>-7.8141679950118634</v>
      </c>
      <c r="D39" s="3">
        <f t="shared" si="10"/>
        <v>44.31634888554936</v>
      </c>
      <c r="E39" s="2">
        <f t="shared" si="11"/>
        <v>64.271449338747956</v>
      </c>
      <c r="F39" s="2">
        <f t="shared" si="9"/>
        <v>82.560421113310099</v>
      </c>
      <c r="G39">
        <f t="shared" si="4"/>
        <v>-2.9577240719756426</v>
      </c>
      <c r="H39">
        <f t="shared" si="5"/>
        <v>85.518145185285746</v>
      </c>
    </row>
    <row r="40" spans="2:8" x14ac:dyDescent="0.25">
      <c r="B40">
        <v>105</v>
      </c>
      <c r="C40" s="3">
        <f t="shared" si="6"/>
        <v>-11.646857029613438</v>
      </c>
      <c r="D40" s="3">
        <f t="shared" ref="D40" si="12">$C$3*SIN(RADIANS(B40))</f>
        <v>43.466662183008076</v>
      </c>
      <c r="E40" s="2">
        <f t="shared" ref="E40" si="13">SQRT(((C40-$C$6)^2) + (D40-$C$7)^2)</f>
        <v>60.403528777125288</v>
      </c>
      <c r="F40" s="2">
        <f t="shared" si="9"/>
        <v>84.175419322573248</v>
      </c>
      <c r="G40">
        <f t="shared" si="4"/>
        <v>-2.3404037037044496</v>
      </c>
      <c r="H40">
        <f t="shared" si="5"/>
        <v>86.515823026277701</v>
      </c>
    </row>
    <row r="42" spans="2:8" x14ac:dyDescent="0.25">
      <c r="B42" t="s">
        <v>14</v>
      </c>
    </row>
    <row r="43" spans="2:8" x14ac:dyDescent="0.25">
      <c r="B43">
        <f>B17</f>
        <v>-10</v>
      </c>
      <c r="H43">
        <f>H17</f>
        <v>37.860079983912897</v>
      </c>
    </row>
    <row r="44" spans="2:8" x14ac:dyDescent="0.25">
      <c r="B44">
        <f>B40</f>
        <v>105</v>
      </c>
      <c r="H44">
        <v>90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Texas Instruments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Clynes, Steve</dc:creator>
  <cp:lastModifiedBy>Clynes, Steve</cp:lastModifiedBy>
  <dcterms:created xsi:type="dcterms:W3CDTF">2025-12-08T17:55:25Z</dcterms:created>
  <dcterms:modified xsi:type="dcterms:W3CDTF">2025-12-08T20:10:45Z</dcterms:modified>
</cp:coreProperties>
</file>